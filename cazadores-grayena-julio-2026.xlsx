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zadores Grayena 2026" sheetId="1" state="visible" r:id="rId1"/>
  </sheets>
  <definedNames>
    <definedName name="_xlnm._FilterDatabase" localSheetId="0" hidden="1">'Cazadores Grayena 2026'!$A$3:$G$63</definedName>
  </definedNames>
  <calcPr calcId="124519" fullCalcOnLoad="1"/>
</workbook>
</file>

<file path=xl/styles.xml><?xml version="1.0" encoding="utf-8"?>
<styleSheet xmlns="http://schemas.openxmlformats.org/spreadsheetml/2006/main">
  <numFmts count="1">
    <numFmt numFmtId="164" formatCode="#,##0&quot; €&quot;"/>
  </numFmts>
  <fonts count="22">
    <font>
      <name val="Calibri"/>
      <family val="2"/>
      <color theme="1"/>
      <sz val="11"/>
      <scheme val="minor"/>
    </font>
    <font>
      <name val="Calibri"/>
      <b val="1"/>
      <color rgb="00FFFFFF"/>
      <sz val="14"/>
    </font>
    <font>
      <name val="Calibri"/>
      <b val="1"/>
      <color rgb="00A9852F"/>
      <sz val="10"/>
    </font>
    <font>
      <name val="Calibri"/>
      <b val="1"/>
      <color rgb="00FFFFFF"/>
      <sz val="10"/>
    </font>
    <font>
      <name val="Calibri"/>
      <color rgb="00777777"/>
      <sz val="9"/>
    </font>
    <font>
      <name val="Calibri"/>
      <color rgb="00111111"/>
      <sz val="10"/>
    </font>
    <font>
      <name val="Calibri"/>
      <color rgb="00222222"/>
      <sz val="10"/>
    </font>
    <font>
      <name val="Calibri"/>
      <color rgb="001A1A6B"/>
      <sz val="10"/>
    </font>
    <font>
      <name val="Calibri"/>
      <b val="1"/>
      <color rgb="001F3D2B"/>
      <sz val="10"/>
    </font>
    <font>
      <name val="Calibri"/>
      <b val="1"/>
      <color rgb="001A4E8C"/>
      <sz val="10"/>
    </font>
    <font>
      <name val="Calibri"/>
      <b val="1"/>
      <color rgb="001A6B1A"/>
      <sz val="10"/>
    </font>
    <font>
      <name val="Calibri"/>
      <b val="1"/>
      <color rgb="00111111"/>
      <sz val="10"/>
    </font>
    <font>
      <name val="Calibri"/>
      <i val="1"/>
      <color rgb="00555555"/>
      <sz val="10"/>
    </font>
    <font>
      <name val="Calibri"/>
      <b val="1"/>
      <color rgb="00B22222"/>
      <sz val="10"/>
    </font>
    <font>
      <name val="Calibri"/>
      <color rgb="00888888"/>
      <sz val="9"/>
    </font>
    <font>
      <name val="Calibri"/>
      <color rgb="00000000"/>
      <sz val="10"/>
    </font>
    <font>
      <name val="Calibri"/>
      <b val="1"/>
      <color rgb="00000000"/>
      <sz val="10"/>
    </font>
    <font>
      <name val="Calibri"/>
      <b val="1"/>
      <color rgb="00FFFFFF"/>
      <sz val="11"/>
    </font>
    <font>
      <name val="Calibri"/>
      <b val="1"/>
      <color rgb="001F3D2B"/>
      <sz val="11"/>
    </font>
    <font>
      <name val="Calibri"/>
      <b val="1"/>
      <color rgb="001A6B1A"/>
      <sz val="11"/>
    </font>
    <font>
      <name val="Calibri"/>
      <b val="1"/>
      <color rgb="00B22222"/>
      <sz val="11"/>
    </font>
    <font>
      <name val="Calibri"/>
      <b val="1"/>
      <color rgb="001A4E8C"/>
      <sz val="11"/>
    </font>
  </fonts>
  <fills count="10">
    <fill>
      <patternFill/>
    </fill>
    <fill>
      <patternFill patternType="gray125"/>
    </fill>
    <fill>
      <patternFill patternType="solid">
        <fgColor rgb="001F3D2B"/>
      </patternFill>
    </fill>
    <fill>
      <patternFill patternType="solid">
        <fgColor rgb="00F7F3E8"/>
      </patternFill>
    </fill>
    <fill>
      <patternFill patternType="solid">
        <fgColor rgb="00E0ECFF"/>
      </patternFill>
    </fill>
    <fill>
      <patternFill patternType="solid">
        <fgColor rgb="00FFFFFF"/>
      </patternFill>
    </fill>
    <fill>
      <patternFill patternType="solid">
        <fgColor rgb="00FFFAE8"/>
      </patternFill>
    </fill>
    <fill>
      <patternFill patternType="solid">
        <fgColor rgb="00FFE0E0"/>
      </patternFill>
    </fill>
    <fill>
      <patternFill patternType="solid">
        <fgColor rgb="00E0F5E0"/>
      </patternFill>
    </fill>
    <fill>
      <patternFill patternType="solid">
        <fgColor rgb="00EDE8D5"/>
      </patternFill>
    </fill>
  </fills>
  <borders count="5">
    <border>
      <left/>
      <right/>
      <top/>
      <bottom/>
      <diagonal/>
    </border>
    <border>
      <left style="medium">
        <color rgb="003D7055"/>
      </left>
      <right style="medium">
        <color rgb="003D7055"/>
      </right>
      <top style="medium">
        <color rgb="003D7055"/>
      </top>
      <bottom style="medium">
        <color rgb="003D7055"/>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AAAAAA"/>
      </bottom>
    </border>
    <border>
      <left style="thin">
        <color rgb="00BBBBBB"/>
      </left>
      <right style="thin">
        <color rgb="00BBBBBB"/>
      </right>
      <top style="thin">
        <color rgb="00BBBBBB"/>
      </top>
      <bottom style="thin">
        <color rgb="00BBBBBB"/>
      </bottom>
    </border>
  </borders>
  <cellStyleXfs count="1">
    <xf numFmtId="0" fontId="0" fillId="0" borderId="0"/>
  </cellStyleXfs>
  <cellXfs count="9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4" borderId="3" applyAlignment="1" pivotButton="0" quotePrefix="0" xfId="0">
      <alignment horizontal="center" vertical="center"/>
    </xf>
    <xf numFmtId="0" fontId="5" fillId="4" borderId="3" applyAlignment="1" pivotButton="0" quotePrefix="0" xfId="0">
      <alignment horizontal="left" vertical="center"/>
    </xf>
    <xf numFmtId="0" fontId="6" fillId="4" borderId="3" applyAlignment="1" pivotButton="0" quotePrefix="0" xfId="0">
      <alignment horizontal="center" vertical="center"/>
    </xf>
    <xf numFmtId="0" fontId="7" fillId="4" borderId="3" applyAlignment="1" pivotButton="0" quotePrefix="0" xfId="0">
      <alignment horizontal="center" vertical="center"/>
    </xf>
    <xf numFmtId="0" fontId="8" fillId="4" borderId="3" applyAlignment="1" pivotButton="0" quotePrefix="0" xfId="0">
      <alignment horizontal="center" vertical="center"/>
    </xf>
    <xf numFmtId="0" fontId="9" fillId="4" borderId="3" applyAlignment="1" pivotButton="0" quotePrefix="0" xfId="0">
      <alignment horizontal="center" vertical="center"/>
    </xf>
    <xf numFmtId="0" fontId="4" fillId="5" borderId="3" applyAlignment="1" pivotButton="0" quotePrefix="0" xfId="0">
      <alignment horizontal="center" vertical="center"/>
    </xf>
    <xf numFmtId="0" fontId="5" fillId="5" borderId="3" applyAlignment="1" pivotButton="0" quotePrefix="0" xfId="0">
      <alignment horizontal="left" vertical="center"/>
    </xf>
    <xf numFmtId="0" fontId="6" fillId="5" borderId="3" applyAlignment="1" pivotButton="0" quotePrefix="0" xfId="0">
      <alignment horizontal="center" vertical="center"/>
    </xf>
    <xf numFmtId="0" fontId="7" fillId="5" borderId="3" applyAlignment="1" pivotButton="0" quotePrefix="0" xfId="0">
      <alignment horizontal="center" vertical="center"/>
    </xf>
    <xf numFmtId="0" fontId="8" fillId="5" borderId="3" applyAlignment="1" pivotButton="0" quotePrefix="0" xfId="0">
      <alignment horizontal="center" vertical="center"/>
    </xf>
    <xf numFmtId="0" fontId="10" fillId="5" borderId="3" applyAlignment="1" pivotButton="0" quotePrefix="0" xfId="0">
      <alignment horizontal="center" vertical="center"/>
    </xf>
    <xf numFmtId="164" fontId="8" fillId="5" borderId="3" applyAlignment="1" pivotButton="0" quotePrefix="0" xfId="0">
      <alignment horizontal="right" vertical="center"/>
    </xf>
    <xf numFmtId="0" fontId="4" fillId="3" borderId="3" applyAlignment="1" pivotButton="0" quotePrefix="0" xfId="0">
      <alignment horizontal="center" vertical="center"/>
    </xf>
    <xf numFmtId="0" fontId="5" fillId="3" borderId="3" applyAlignment="1" pivotButton="0" quotePrefix="0" xfId="0">
      <alignment horizontal="left" vertical="center"/>
    </xf>
    <xf numFmtId="0" fontId="6" fillId="3" borderId="3" applyAlignment="1" pivotButton="0" quotePrefix="0" xfId="0">
      <alignment horizontal="center" vertical="center"/>
    </xf>
    <xf numFmtId="0" fontId="7" fillId="3" borderId="3" applyAlignment="1" pivotButton="0" quotePrefix="0" xfId="0">
      <alignment horizontal="center" vertical="center"/>
    </xf>
    <xf numFmtId="0" fontId="8" fillId="3" borderId="3" applyAlignment="1" pivotButton="0" quotePrefix="0" xfId="0">
      <alignment horizontal="center" vertical="center"/>
    </xf>
    <xf numFmtId="0" fontId="10" fillId="3" borderId="3" applyAlignment="1" pivotButton="0" quotePrefix="0" xfId="0">
      <alignment horizontal="center" vertical="center"/>
    </xf>
    <xf numFmtId="164" fontId="8" fillId="3" borderId="3" applyAlignment="1" pivotButton="0" quotePrefix="0" xfId="0">
      <alignment horizontal="right" vertical="center"/>
    </xf>
    <xf numFmtId="0" fontId="4" fillId="5" borderId="2" applyAlignment="1" pivotButton="0" quotePrefix="0" xfId="0">
      <alignment horizontal="center" vertical="center"/>
    </xf>
    <xf numFmtId="0" fontId="11" fillId="5" borderId="2" applyAlignment="1" pivotButton="0" quotePrefix="0" xfId="0">
      <alignment horizontal="left" vertical="center"/>
    </xf>
    <xf numFmtId="0" fontId="6" fillId="5" borderId="2" applyAlignment="1" pivotButton="0" quotePrefix="0" xfId="0">
      <alignment horizontal="center" vertical="center"/>
    </xf>
    <xf numFmtId="0" fontId="7" fillId="5" borderId="2" applyAlignment="1" pivotButton="0" quotePrefix="0" xfId="0">
      <alignment horizontal="center" vertical="center"/>
    </xf>
    <xf numFmtId="0" fontId="8" fillId="5" borderId="2" applyAlignment="1" pivotButton="0" quotePrefix="0" xfId="0">
      <alignment horizontal="center" vertical="center"/>
    </xf>
    <xf numFmtId="0" fontId="10" fillId="5" borderId="2" applyAlignment="1" pivotButton="0" quotePrefix="0" xfId="0">
      <alignment horizontal="center" vertical="center"/>
    </xf>
    <xf numFmtId="164" fontId="8" fillId="5" borderId="2" applyAlignment="1" pivotButton="0" quotePrefix="0" xfId="0">
      <alignment horizontal="right" vertical="center"/>
    </xf>
    <xf numFmtId="0" fontId="4" fillId="6" borderId="2" applyAlignment="1" pivotButton="0" quotePrefix="0" xfId="0">
      <alignment horizontal="center" vertical="center"/>
    </xf>
    <xf numFmtId="0" fontId="12" fillId="6" borderId="2" applyAlignment="1" pivotButton="0" quotePrefix="0" xfId="0">
      <alignment horizontal="left" vertical="center"/>
    </xf>
    <xf numFmtId="0" fontId="6" fillId="6" borderId="2" applyAlignment="1" pivotButton="0" quotePrefix="0" xfId="0">
      <alignment horizontal="center" vertical="center"/>
    </xf>
    <xf numFmtId="0" fontId="7" fillId="6" borderId="2" applyAlignment="1" pivotButton="0" quotePrefix="0" xfId="0">
      <alignment horizontal="center" vertical="center"/>
    </xf>
    <xf numFmtId="0" fontId="8" fillId="6" borderId="2" applyAlignment="1" pivotButton="0" quotePrefix="0" xfId="0">
      <alignment horizontal="center" vertical="center"/>
    </xf>
    <xf numFmtId="0" fontId="10" fillId="6" borderId="2" applyAlignment="1" pivotButton="0" quotePrefix="0" xfId="0">
      <alignment horizontal="center" vertical="center"/>
    </xf>
    <xf numFmtId="164" fontId="8" fillId="6" borderId="2" applyAlignment="1" pivotButton="0" quotePrefix="0" xfId="0">
      <alignment horizontal="right" vertical="center"/>
    </xf>
    <xf numFmtId="0" fontId="4" fillId="6" borderId="3" applyAlignment="1" pivotButton="0" quotePrefix="0" xfId="0">
      <alignment horizontal="center" vertical="center"/>
    </xf>
    <xf numFmtId="0" fontId="12" fillId="6" borderId="3" applyAlignment="1" pivotButton="0" quotePrefix="0" xfId="0">
      <alignment horizontal="left" vertical="center"/>
    </xf>
    <xf numFmtId="0" fontId="6" fillId="6" borderId="3" applyAlignment="1" pivotButton="0" quotePrefix="0" xfId="0">
      <alignment horizontal="center" vertical="center"/>
    </xf>
    <xf numFmtId="0" fontId="7" fillId="6" borderId="3" applyAlignment="1" pivotButton="0" quotePrefix="0" xfId="0">
      <alignment horizontal="center" vertical="center"/>
    </xf>
    <xf numFmtId="0" fontId="8" fillId="6" borderId="3" applyAlignment="1" pivotButton="0" quotePrefix="0" xfId="0">
      <alignment horizontal="center" vertical="center"/>
    </xf>
    <xf numFmtId="0" fontId="10" fillId="6" borderId="3" applyAlignment="1" pivotButton="0" quotePrefix="0" xfId="0">
      <alignment horizontal="center" vertical="center"/>
    </xf>
    <xf numFmtId="164" fontId="8" fillId="6" borderId="3" applyAlignment="1" pivotButton="0" quotePrefix="0" xfId="0">
      <alignment horizontal="right" vertical="center"/>
    </xf>
    <xf numFmtId="0" fontId="4" fillId="7" borderId="3" applyAlignment="1" pivotButton="0" quotePrefix="0" xfId="0">
      <alignment horizontal="center" vertical="center"/>
    </xf>
    <xf numFmtId="0" fontId="5" fillId="7" borderId="3" applyAlignment="1" pivotButton="0" quotePrefix="0" xfId="0">
      <alignment horizontal="left" vertical="center"/>
    </xf>
    <xf numFmtId="0" fontId="6" fillId="7" borderId="3" applyAlignment="1" pivotButton="0" quotePrefix="0" xfId="0">
      <alignment horizontal="center" vertical="center"/>
    </xf>
    <xf numFmtId="0" fontId="7" fillId="7" borderId="3" applyAlignment="1" pivotButton="0" quotePrefix="0" xfId="0">
      <alignment horizontal="center" vertical="center"/>
    </xf>
    <xf numFmtId="0" fontId="8" fillId="7" borderId="3" applyAlignment="1" pivotButton="0" quotePrefix="0" xfId="0">
      <alignment horizontal="center" vertical="center"/>
    </xf>
    <xf numFmtId="0" fontId="13" fillId="7" borderId="3" applyAlignment="1" pivotButton="0" quotePrefix="0" xfId="0">
      <alignment horizontal="center" vertical="center"/>
    </xf>
    <xf numFmtId="164" fontId="13" fillId="7" borderId="3" applyAlignment="1" pivotButton="0" quotePrefix="0" xfId="0">
      <alignment horizontal="right" vertical="center"/>
    </xf>
    <xf numFmtId="0" fontId="4" fillId="3" borderId="2" applyAlignment="1" pivotButton="0" quotePrefix="0" xfId="0">
      <alignment horizontal="center" vertical="center"/>
    </xf>
    <xf numFmtId="0" fontId="11" fillId="3" borderId="2" applyAlignment="1" pivotButton="0" quotePrefix="0" xfId="0">
      <alignment horizontal="left" vertical="center"/>
    </xf>
    <xf numFmtId="0" fontId="6" fillId="3" borderId="2" applyAlignment="1" pivotButton="0" quotePrefix="0" xfId="0">
      <alignment horizontal="center" vertical="center"/>
    </xf>
    <xf numFmtId="0" fontId="7" fillId="3" borderId="2" applyAlignment="1" pivotButton="0" quotePrefix="0" xfId="0">
      <alignment horizontal="center" vertical="center"/>
    </xf>
    <xf numFmtId="0" fontId="8" fillId="3" borderId="2" applyAlignment="1" pivotButton="0" quotePrefix="0" xfId="0">
      <alignment horizontal="center" vertical="center"/>
    </xf>
    <xf numFmtId="0" fontId="10" fillId="3" borderId="2" applyAlignment="1" pivotButton="0" quotePrefix="0" xfId="0">
      <alignment horizontal="center" vertical="center"/>
    </xf>
    <xf numFmtId="164" fontId="8" fillId="3" borderId="2" applyAlignment="1" pivotButton="0" quotePrefix="0" xfId="0">
      <alignment horizontal="right" vertical="center"/>
    </xf>
    <xf numFmtId="0" fontId="4" fillId="7" borderId="2" applyAlignment="1" pivotButton="0" quotePrefix="0" xfId="0">
      <alignment horizontal="center" vertical="center"/>
    </xf>
    <xf numFmtId="0" fontId="11" fillId="7" borderId="2" applyAlignment="1" pivotButton="0" quotePrefix="0" xfId="0">
      <alignment horizontal="left" vertical="center"/>
    </xf>
    <xf numFmtId="0" fontId="6" fillId="7" borderId="2" applyAlignment="1" pivotButton="0" quotePrefix="0" xfId="0">
      <alignment horizontal="center" vertical="center"/>
    </xf>
    <xf numFmtId="0" fontId="7" fillId="7" borderId="2" applyAlignment="1" pivotButton="0" quotePrefix="0" xfId="0">
      <alignment horizontal="center" vertical="center"/>
    </xf>
    <xf numFmtId="0" fontId="8" fillId="7" borderId="2" applyAlignment="1" pivotButton="0" quotePrefix="0" xfId="0">
      <alignment horizontal="center" vertical="center"/>
    </xf>
    <xf numFmtId="0" fontId="13" fillId="7" borderId="2" applyAlignment="1" pivotButton="0" quotePrefix="0" xfId="0">
      <alignment horizontal="center" vertical="center"/>
    </xf>
    <xf numFmtId="164" fontId="13" fillId="7" borderId="2" applyAlignment="1" pivotButton="0" quotePrefix="0" xfId="0">
      <alignment horizontal="right" vertical="center"/>
    </xf>
    <xf numFmtId="0" fontId="12" fillId="7" borderId="3" applyAlignment="1" pivotButton="0" quotePrefix="0" xfId="0">
      <alignment horizontal="left" vertical="center"/>
    </xf>
    <xf numFmtId="0" fontId="12" fillId="7" borderId="2" applyAlignment="1" pivotButton="0" quotePrefix="0" xfId="0">
      <alignment horizontal="left" vertical="center"/>
    </xf>
    <xf numFmtId="0" fontId="14" fillId="3" borderId="2" applyAlignment="1" pivotButton="0" quotePrefix="0" xfId="0">
      <alignment horizontal="center" vertical="center"/>
    </xf>
    <xf numFmtId="0" fontId="15" fillId="3" borderId="2" applyAlignment="1" pivotButton="0" quotePrefix="0" xfId="0">
      <alignment horizontal="left" vertical="center"/>
    </xf>
    <xf numFmtId="0" fontId="15" fillId="3" borderId="2" applyAlignment="1" pivotButton="0" quotePrefix="0" xfId="0">
      <alignment horizontal="center" vertical="center"/>
    </xf>
    <xf numFmtId="0" fontId="16" fillId="3" borderId="2" applyAlignment="1" pivotButton="0" quotePrefix="0" xfId="0">
      <alignment horizontal="center" vertical="center"/>
    </xf>
    <xf numFmtId="164" fontId="16" fillId="3" borderId="2" applyAlignment="1" pivotButton="0" quotePrefix="0" xfId="0">
      <alignment horizontal="right" vertical="center"/>
    </xf>
    <xf numFmtId="0" fontId="14" fillId="5" borderId="2" applyAlignment="1" pivotButton="0" quotePrefix="0" xfId="0">
      <alignment horizontal="center" vertical="center"/>
    </xf>
    <xf numFmtId="0" fontId="15" fillId="5" borderId="2" applyAlignment="1" pivotButton="0" quotePrefix="0" xfId="0">
      <alignment horizontal="left" vertical="center"/>
    </xf>
    <xf numFmtId="0" fontId="15" fillId="5" borderId="2" applyAlignment="1" pivotButton="0" quotePrefix="0" xfId="0">
      <alignment horizontal="center" vertical="center"/>
    </xf>
    <xf numFmtId="0" fontId="16" fillId="5" borderId="2" applyAlignment="1" pivotButton="0" quotePrefix="0" xfId="0">
      <alignment horizontal="center" vertical="center"/>
    </xf>
    <xf numFmtId="164" fontId="16" fillId="5" borderId="2" applyAlignment="1" pivotButton="0" quotePrefix="0" xfId="0">
      <alignment horizontal="right" vertical="center"/>
    </xf>
    <xf numFmtId="0" fontId="17" fillId="2" borderId="0" applyAlignment="1" pivotButton="0" quotePrefix="0" xfId="0">
      <alignment horizontal="center" vertical="center"/>
    </xf>
    <xf numFmtId="0" fontId="8" fillId="3" borderId="4" applyAlignment="1" pivotButton="0" quotePrefix="0" xfId="0">
      <alignment horizontal="right" vertical="center"/>
    </xf>
    <xf numFmtId="0" fontId="18" fillId="3" borderId="4" applyAlignment="1" pivotButton="0" quotePrefix="0" xfId="0">
      <alignment horizontal="center" vertical="center"/>
    </xf>
    <xf numFmtId="0" fontId="10" fillId="8" borderId="4" applyAlignment="1" pivotButton="0" quotePrefix="0" xfId="0">
      <alignment horizontal="right" vertical="center"/>
    </xf>
    <xf numFmtId="0" fontId="19" fillId="8" borderId="4" applyAlignment="1" pivotButton="0" quotePrefix="0" xfId="0">
      <alignment horizontal="center" vertical="center"/>
    </xf>
    <xf numFmtId="0" fontId="13" fillId="7" borderId="4" applyAlignment="1" pivotButton="0" quotePrefix="0" xfId="0">
      <alignment horizontal="right" vertical="center"/>
    </xf>
    <xf numFmtId="0" fontId="20" fillId="7" borderId="4" applyAlignment="1" pivotButton="0" quotePrefix="0" xfId="0">
      <alignment horizontal="center" vertical="center"/>
    </xf>
    <xf numFmtId="0" fontId="9" fillId="4" borderId="4" applyAlignment="1" pivotButton="0" quotePrefix="0" xfId="0">
      <alignment horizontal="right" vertical="center"/>
    </xf>
    <xf numFmtId="0" fontId="21" fillId="4" borderId="4" applyAlignment="1" pivotButton="0" quotePrefix="0" xfId="0">
      <alignment horizontal="center" vertical="center"/>
    </xf>
    <xf numFmtId="0" fontId="8" fillId="8" borderId="4" applyAlignment="1" pivotButton="0" quotePrefix="0" xfId="0">
      <alignment horizontal="right" vertical="center"/>
    </xf>
    <xf numFmtId="164" fontId="18" fillId="8" borderId="4" applyAlignment="1" pivotButton="0" quotePrefix="0" xfId="0">
      <alignment horizontal="center" vertical="center"/>
    </xf>
    <xf numFmtId="164" fontId="20" fillId="7" borderId="4" applyAlignment="1" pivotButton="0" quotePrefix="0" xfId="0">
      <alignment horizontal="center" vertical="center"/>
    </xf>
    <xf numFmtId="0" fontId="8" fillId="9" borderId="4" applyAlignment="1" pivotButton="0" quotePrefix="0" xfId="0">
      <alignment horizontal="right" vertical="center"/>
    </xf>
    <xf numFmtId="164" fontId="18" fillId="9"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showGridLines="1" workbookViewId="0">
      <pane ySplit="3" topLeftCell="A4" activePane="bottomLeft" state="frozen"/>
      <selection pane="bottomLeft" activeCell="A1" sqref="A1"/>
    </sheetView>
  </sheetViews>
  <sheetFormatPr baseColWidth="8" defaultRowHeight="15"/>
  <cols>
    <col width="6" customWidth="1" min="1" max="1"/>
    <col width="44" customWidth="1" min="2" max="2"/>
    <col width="17" customWidth="1" min="3" max="3"/>
    <col width="16" customWidth="1" min="4" max="4"/>
    <col width="13" customWidth="1" min="5" max="5"/>
    <col width="11" customWidth="1" min="6" max="6"/>
    <col width="12" customWidth="1" min="7" max="7"/>
  </cols>
  <sheetData>
    <row r="1" ht="30" customHeight="1">
      <c r="A1" s="1" t="inlineStr">
        <is>
          <t>COTO GRAYENA DE LES GARRIGUES  ·  A.P.C L-10.199  ·  JULIO 2026</t>
        </is>
      </c>
    </row>
    <row r="2" ht="18" customHeight="1">
      <c r="A2" s="2" t="inlineStr">
        <is>
          <t>AUTORIZACIÓN ESPECIAL DE CAZA DEL CONEJO POR DAÑOS A LA AGRICULTURA</t>
        </is>
      </c>
    </row>
    <row r="3" ht="22" customHeight="1">
      <c r="A3" s="3" t="inlineStr">
        <is>
          <t>Nº</t>
        </is>
      </c>
      <c r="B3" s="4" t="inlineStr">
        <is>
          <t>NOMBRE Y APELLIDOS</t>
        </is>
      </c>
      <c r="C3" s="3" t="inlineStr">
        <is>
          <t>DNI</t>
        </is>
      </c>
      <c r="D3" s="3" t="inlineStr">
        <is>
          <t>NUM. TEL.</t>
        </is>
      </c>
      <c r="E3" s="3" t="inlineStr">
        <is>
          <t>COTO</t>
        </is>
      </c>
      <c r="F3" s="3" t="inlineStr">
        <is>
          <t>PAGO</t>
        </is>
      </c>
      <c r="G3" s="3" t="inlineStr">
        <is>
          <t>IMPORTE</t>
        </is>
      </c>
    </row>
    <row r="4" ht="17" customHeight="1">
      <c r="A4" s="5" t="n">
        <v>1</v>
      </c>
      <c r="B4" s="6" t="inlineStr">
        <is>
          <t>Benito Gili Florensa</t>
        </is>
      </c>
      <c r="C4" s="7" t="inlineStr">
        <is>
          <t>40898319H</t>
        </is>
      </c>
      <c r="D4" s="8" t="inlineStr">
        <is>
          <t>699 94 97 38</t>
        </is>
      </c>
      <c r="E4" s="9" t="inlineStr">
        <is>
          <t>Grayena</t>
        </is>
      </c>
      <c r="F4" s="10" t="inlineStr">
        <is>
          <t>S.C</t>
        </is>
      </c>
      <c r="G4" s="10" t="inlineStr">
        <is>
          <t>S.C</t>
        </is>
      </c>
    </row>
    <row r="5" ht="17" customHeight="1">
      <c r="A5" s="11" t="n">
        <v>2</v>
      </c>
      <c r="B5" s="12" t="inlineStr">
        <is>
          <t>Diego Jose Galera Quisano</t>
        </is>
      </c>
      <c r="C5" s="13" t="inlineStr">
        <is>
          <t>39473017-A</t>
        </is>
      </c>
      <c r="D5" s="14" t="inlineStr">
        <is>
          <t>617 731 219</t>
        </is>
      </c>
      <c r="E5" s="15" t="inlineStr">
        <is>
          <t>Grayena</t>
        </is>
      </c>
      <c r="F5" s="16" t="inlineStr">
        <is>
          <t>Pagado</t>
        </is>
      </c>
      <c r="G5" s="17" t="n">
        <v>500</v>
      </c>
    </row>
    <row r="6" ht="17" customHeight="1">
      <c r="A6" s="18" t="n">
        <v>3</v>
      </c>
      <c r="B6" s="19" t="inlineStr">
        <is>
          <t>Emilio Useno Castno</t>
        </is>
      </c>
      <c r="C6" s="20" t="inlineStr">
        <is>
          <t>37323935H</t>
        </is>
      </c>
      <c r="D6" s="21" t="inlineStr">
        <is>
          <t>696 624 264</t>
        </is>
      </c>
      <c r="E6" s="22" t="inlineStr">
        <is>
          <t>Grayena</t>
        </is>
      </c>
      <c r="F6" s="23" t="inlineStr">
        <is>
          <t>Pagado</t>
        </is>
      </c>
      <c r="G6" s="24" t="n">
        <v>600</v>
      </c>
    </row>
    <row r="7" ht="17" customHeight="1">
      <c r="A7" s="25" t="n">
        <v>4</v>
      </c>
      <c r="B7" s="26" t="inlineStr">
        <is>
          <t>Enric Cabré Solá</t>
        </is>
      </c>
      <c r="C7" s="27" t="inlineStr">
        <is>
          <t>40834218H</t>
        </is>
      </c>
      <c r="D7" s="28" t="inlineStr">
        <is>
          <t>610 257 117</t>
        </is>
      </c>
      <c r="E7" s="29" t="inlineStr">
        <is>
          <t>Grayena</t>
        </is>
      </c>
      <c r="F7" s="30" t="inlineStr">
        <is>
          <t>Pagado</t>
        </is>
      </c>
      <c r="G7" s="31" t="n">
        <v>300</v>
      </c>
    </row>
    <row r="8" ht="17" customHeight="1">
      <c r="A8" s="32" t="n">
        <v>5</v>
      </c>
      <c r="B8" s="33" t="inlineStr">
        <is>
          <t xml:space="preserve">    Antonio Sunalla Raimat</t>
        </is>
      </c>
      <c r="C8" s="34" t="inlineStr">
        <is>
          <t>40838458A</t>
        </is>
      </c>
      <c r="D8" s="35" t="inlineStr"/>
      <c r="E8" s="36" t="inlineStr">
        <is>
          <t>Grayena</t>
        </is>
      </c>
      <c r="F8" s="37" t="inlineStr">
        <is>
          <t>Pagado</t>
        </is>
      </c>
      <c r="G8" s="38" t="n">
        <v>300</v>
      </c>
    </row>
    <row r="9" ht="17" customHeight="1">
      <c r="A9" s="32" t="n">
        <v>6</v>
      </c>
      <c r="B9" s="33" t="inlineStr">
        <is>
          <t xml:space="preserve">    Jordi Sans Pascuet</t>
        </is>
      </c>
      <c r="C9" s="34" t="inlineStr">
        <is>
          <t>40841054T</t>
        </is>
      </c>
      <c r="D9" s="35" t="inlineStr"/>
      <c r="E9" s="36" t="inlineStr">
        <is>
          <t>Grayena</t>
        </is>
      </c>
      <c r="F9" s="37" t="inlineStr">
        <is>
          <t>Pagado</t>
        </is>
      </c>
      <c r="G9" s="38" t="n">
        <v>300</v>
      </c>
    </row>
    <row r="10" ht="17" customHeight="1">
      <c r="A10" s="39" t="n">
        <v>7</v>
      </c>
      <c r="B10" s="40" t="inlineStr">
        <is>
          <t xml:space="preserve">    Josep Cots Pelegri</t>
        </is>
      </c>
      <c r="C10" s="41" t="inlineStr">
        <is>
          <t>40847530J</t>
        </is>
      </c>
      <c r="D10" s="42" t="inlineStr"/>
      <c r="E10" s="43" t="inlineStr">
        <is>
          <t>Grayena</t>
        </is>
      </c>
      <c r="F10" s="44" t="inlineStr">
        <is>
          <t>Pagado</t>
        </is>
      </c>
      <c r="G10" s="45" t="n">
        <v>300</v>
      </c>
    </row>
    <row r="11" ht="17" customHeight="1">
      <c r="A11" s="5" t="n">
        <v>8</v>
      </c>
      <c r="B11" s="6" t="inlineStr">
        <is>
          <t>Ferran Galcerà Solé</t>
        </is>
      </c>
      <c r="C11" s="7" t="inlineStr">
        <is>
          <t>47936701-D</t>
        </is>
      </c>
      <c r="D11" s="8" t="inlineStr">
        <is>
          <t>636 451 78</t>
        </is>
      </c>
      <c r="E11" s="9" t="inlineStr">
        <is>
          <t>Grayena</t>
        </is>
      </c>
      <c r="F11" s="10" t="inlineStr">
        <is>
          <t>S.C</t>
        </is>
      </c>
      <c r="G11" s="10" t="inlineStr">
        <is>
          <t>S.C</t>
        </is>
      </c>
    </row>
    <row r="12" ht="17" customHeight="1">
      <c r="A12" s="46" t="n">
        <v>9</v>
      </c>
      <c r="B12" s="47" t="inlineStr">
        <is>
          <t>Francesc Sánchez Besora</t>
        </is>
      </c>
      <c r="C12" s="48" t="inlineStr">
        <is>
          <t>46723855E</t>
        </is>
      </c>
      <c r="D12" s="49" t="inlineStr">
        <is>
          <t>627 476 830</t>
        </is>
      </c>
      <c r="E12" s="50" t="inlineStr">
        <is>
          <t>Grayena</t>
        </is>
      </c>
      <c r="F12" s="51" t="inlineStr">
        <is>
          <t>Falta</t>
        </is>
      </c>
      <c r="G12" s="52" t="n">
        <v>600</v>
      </c>
    </row>
    <row r="13" ht="17" customHeight="1">
      <c r="A13" s="53" t="n">
        <v>10</v>
      </c>
      <c r="B13" s="54" t="inlineStr">
        <is>
          <t>Francisco Zarza Garcia</t>
        </is>
      </c>
      <c r="C13" s="55" t="inlineStr">
        <is>
          <t>39699060W</t>
        </is>
      </c>
      <c r="D13" s="56" t="inlineStr">
        <is>
          <t>674 918 163</t>
        </is>
      </c>
      <c r="E13" s="57" t="inlineStr">
        <is>
          <t>Grayena</t>
        </is>
      </c>
      <c r="F13" s="58" t="inlineStr">
        <is>
          <t>Pagado</t>
        </is>
      </c>
      <c r="G13" s="59" t="n">
        <v>600</v>
      </c>
    </row>
    <row r="14" ht="17" customHeight="1">
      <c r="A14" s="32" t="n">
        <v>11</v>
      </c>
      <c r="B14" s="33" t="inlineStr">
        <is>
          <t xml:space="preserve">    Victor Manuel Zarza Garcia</t>
        </is>
      </c>
      <c r="C14" s="34" t="inlineStr">
        <is>
          <t>39699767L</t>
        </is>
      </c>
      <c r="D14" s="35" t="inlineStr"/>
      <c r="E14" s="36" t="inlineStr">
        <is>
          <t>Grayena</t>
        </is>
      </c>
      <c r="F14" s="37" t="inlineStr">
        <is>
          <t>Pagado</t>
        </is>
      </c>
      <c r="G14" s="38" t="n">
        <v>600</v>
      </c>
    </row>
    <row r="15" ht="17" customHeight="1">
      <c r="A15" s="39" t="n">
        <v>12</v>
      </c>
      <c r="B15" s="40" t="inlineStr">
        <is>
          <t xml:space="preserve">    Yeray Zarza Callejón</t>
        </is>
      </c>
      <c r="C15" s="41" t="inlineStr">
        <is>
          <t>49316079P</t>
        </is>
      </c>
      <c r="D15" s="42" t="inlineStr"/>
      <c r="E15" s="43" t="inlineStr">
        <is>
          <t>Grayena</t>
        </is>
      </c>
      <c r="F15" s="44" t="inlineStr">
        <is>
          <t>Pagado</t>
        </is>
      </c>
      <c r="G15" s="45" t="n">
        <v>600</v>
      </c>
    </row>
    <row r="16" ht="17" customHeight="1">
      <c r="A16" s="11" t="n">
        <v>13</v>
      </c>
      <c r="B16" s="12" t="inlineStr">
        <is>
          <t>Joaquin Feixo Fannagoldo</t>
        </is>
      </c>
      <c r="C16" s="13" t="inlineStr">
        <is>
          <t>06643116 (And)</t>
        </is>
      </c>
      <c r="D16" s="14" t="inlineStr">
        <is>
          <t>604 119 191</t>
        </is>
      </c>
      <c r="E16" s="15" t="inlineStr">
        <is>
          <t>Grayena</t>
        </is>
      </c>
      <c r="F16" s="16" t="inlineStr">
        <is>
          <t>Pagado</t>
        </is>
      </c>
      <c r="G16" s="17" t="n">
        <v>600</v>
      </c>
    </row>
    <row r="17" ht="17" customHeight="1">
      <c r="A17" s="60" t="n">
        <v>14</v>
      </c>
      <c r="B17" s="61" t="inlineStr">
        <is>
          <t>Jordi Vidal García</t>
        </is>
      </c>
      <c r="C17" s="62" t="inlineStr">
        <is>
          <t>39938597V</t>
        </is>
      </c>
      <c r="D17" s="63" t="inlineStr">
        <is>
          <t>660 964 600</t>
        </is>
      </c>
      <c r="E17" s="64" t="inlineStr">
        <is>
          <t>Grayena</t>
        </is>
      </c>
      <c r="F17" s="65" t="inlineStr">
        <is>
          <t>Falta</t>
        </is>
      </c>
      <c r="G17" s="66" t="n">
        <v>300</v>
      </c>
    </row>
    <row r="18" ht="17" customHeight="1">
      <c r="A18" s="46" t="n">
        <v>15</v>
      </c>
      <c r="B18" s="67" t="inlineStr">
        <is>
          <t xml:space="preserve">    Jorge Vidal Miró</t>
        </is>
      </c>
      <c r="C18" s="48" t="inlineStr">
        <is>
          <t>39874279F</t>
        </is>
      </c>
      <c r="D18" s="49" t="inlineStr"/>
      <c r="E18" s="50" t="inlineStr">
        <is>
          <t>Grayena</t>
        </is>
      </c>
      <c r="F18" s="51" t="inlineStr">
        <is>
          <t>Falta</t>
        </is>
      </c>
      <c r="G18" s="52" t="n">
        <v>300</v>
      </c>
    </row>
    <row r="19" ht="17" customHeight="1">
      <c r="A19" s="11" t="n">
        <v>16</v>
      </c>
      <c r="B19" s="12" t="inlineStr">
        <is>
          <t>José A. Galera Gea</t>
        </is>
      </c>
      <c r="C19" s="13" t="inlineStr">
        <is>
          <t>39728517L</t>
        </is>
      </c>
      <c r="D19" s="14" t="inlineStr">
        <is>
          <t>722 222 795</t>
        </is>
      </c>
      <c r="E19" s="15" t="inlineStr">
        <is>
          <t>Grayena</t>
        </is>
      </c>
      <c r="F19" s="16" t="inlineStr">
        <is>
          <t>Pagado</t>
        </is>
      </c>
      <c r="G19" s="17" t="n">
        <v>500</v>
      </c>
    </row>
    <row r="20" ht="17" customHeight="1">
      <c r="A20" s="46" t="n">
        <v>17</v>
      </c>
      <c r="B20" s="47" t="inlineStr">
        <is>
          <t>Jose A. Rodriguez Sanchez</t>
        </is>
      </c>
      <c r="C20" s="48" t="inlineStr">
        <is>
          <t>43499011P</t>
        </is>
      </c>
      <c r="D20" s="49" t="inlineStr">
        <is>
          <t>689 421 078</t>
        </is>
      </c>
      <c r="E20" s="50" t="inlineStr">
        <is>
          <t>Grayena</t>
        </is>
      </c>
      <c r="F20" s="51" t="inlineStr">
        <is>
          <t>Falta</t>
        </is>
      </c>
      <c r="G20" s="52" t="n">
        <v>600</v>
      </c>
    </row>
    <row r="21" ht="17" customHeight="1">
      <c r="A21" s="25" t="n">
        <v>18</v>
      </c>
      <c r="B21" s="26" t="inlineStr">
        <is>
          <t>Jose Bernal Marnenda</t>
        </is>
      </c>
      <c r="C21" s="27" t="inlineStr">
        <is>
          <t>43500907-H</t>
        </is>
      </c>
      <c r="D21" s="28" t="inlineStr">
        <is>
          <t>600 321 681</t>
        </is>
      </c>
      <c r="E21" s="29" t="inlineStr">
        <is>
          <t>Grayena</t>
        </is>
      </c>
      <c r="F21" s="30" t="inlineStr">
        <is>
          <t>Pagado</t>
        </is>
      </c>
      <c r="G21" s="31" t="n">
        <v>600</v>
      </c>
    </row>
    <row r="22" ht="17" customHeight="1">
      <c r="A22" s="46" t="n">
        <v>19</v>
      </c>
      <c r="B22" s="67" t="inlineStr">
        <is>
          <t xml:space="preserve">    Abel Bernal Galvez</t>
        </is>
      </c>
      <c r="C22" s="48" t="inlineStr">
        <is>
          <t>53033535C</t>
        </is>
      </c>
      <c r="D22" s="49" t="inlineStr"/>
      <c r="E22" s="50" t="inlineStr">
        <is>
          <t>Grayena</t>
        </is>
      </c>
      <c r="F22" s="51" t="inlineStr">
        <is>
          <t>Falta</t>
        </is>
      </c>
      <c r="G22" s="52" t="n">
        <v>600</v>
      </c>
    </row>
    <row r="23" ht="17" customHeight="1">
      <c r="A23" s="5" t="n">
        <v>20</v>
      </c>
      <c r="B23" s="6" t="inlineStr">
        <is>
          <t>Josep María Reves</t>
        </is>
      </c>
      <c r="C23" s="7" t="inlineStr">
        <is>
          <t>78050679H</t>
        </is>
      </c>
      <c r="D23" s="8" t="inlineStr">
        <is>
          <t>618 295 499</t>
        </is>
      </c>
      <c r="E23" s="9" t="inlineStr">
        <is>
          <t>Grayena</t>
        </is>
      </c>
      <c r="F23" s="10" t="inlineStr">
        <is>
          <t>S.C</t>
        </is>
      </c>
      <c r="G23" s="10" t="inlineStr">
        <is>
          <t>S.C</t>
        </is>
      </c>
    </row>
    <row r="24" ht="17" customHeight="1">
      <c r="A24" s="25" t="n">
        <v>21</v>
      </c>
      <c r="B24" s="26" t="inlineStr">
        <is>
          <t>Juan Antonio Fdez. Suarez</t>
        </is>
      </c>
      <c r="C24" s="27" t="inlineStr">
        <is>
          <t>39675622R</t>
        </is>
      </c>
      <c r="D24" s="28" t="inlineStr">
        <is>
          <t>676 847 710</t>
        </is>
      </c>
      <c r="E24" s="29" t="inlineStr">
        <is>
          <t>Grayena</t>
        </is>
      </c>
      <c r="F24" s="30" t="inlineStr">
        <is>
          <t>Pagado</t>
        </is>
      </c>
      <c r="G24" s="31" t="n">
        <v>500</v>
      </c>
    </row>
    <row r="25" ht="17" customHeight="1">
      <c r="A25" s="32" t="n">
        <v>22</v>
      </c>
      <c r="B25" s="33" t="inlineStr">
        <is>
          <t xml:space="preserve">    Sebastian Hervás Soriano</t>
        </is>
      </c>
      <c r="C25" s="34" t="inlineStr">
        <is>
          <t>39854673C</t>
        </is>
      </c>
      <c r="D25" s="35" t="inlineStr"/>
      <c r="E25" s="36" t="inlineStr">
        <is>
          <t>Grayena</t>
        </is>
      </c>
      <c r="F25" s="37" t="inlineStr">
        <is>
          <t>Pagado</t>
        </is>
      </c>
      <c r="G25" s="38" t="n">
        <v>500</v>
      </c>
    </row>
    <row r="26" ht="17" customHeight="1">
      <c r="A26" s="39" t="n">
        <v>23</v>
      </c>
      <c r="B26" s="40" t="inlineStr">
        <is>
          <t xml:space="preserve">    Adrian Fdez Izquierdo</t>
        </is>
      </c>
      <c r="C26" s="41" t="inlineStr">
        <is>
          <t>49647703H</t>
        </is>
      </c>
      <c r="D26" s="42" t="inlineStr"/>
      <c r="E26" s="43" t="inlineStr">
        <is>
          <t>Grayena</t>
        </is>
      </c>
      <c r="F26" s="44" t="inlineStr">
        <is>
          <t>Pagado</t>
        </is>
      </c>
      <c r="G26" s="45" t="n">
        <v>500</v>
      </c>
    </row>
    <row r="27" ht="17" customHeight="1">
      <c r="A27" s="53" t="n">
        <v>24</v>
      </c>
      <c r="B27" s="54" t="inlineStr">
        <is>
          <t>Juan Corominas de Dios</t>
        </is>
      </c>
      <c r="C27" s="55" t="inlineStr">
        <is>
          <t>77260203Y</t>
        </is>
      </c>
      <c r="D27" s="56" t="inlineStr">
        <is>
          <t>606 449 319</t>
        </is>
      </c>
      <c r="E27" s="57" t="inlineStr">
        <is>
          <t>Grayena</t>
        </is>
      </c>
      <c r="F27" s="58" t="inlineStr">
        <is>
          <t>Pagado</t>
        </is>
      </c>
      <c r="G27" s="59" t="n">
        <v>600</v>
      </c>
    </row>
    <row r="28" ht="17" customHeight="1">
      <c r="A28" s="39" t="n">
        <v>25</v>
      </c>
      <c r="B28" s="40" t="inlineStr">
        <is>
          <t xml:space="preserve">    Inga Ermolova</t>
        </is>
      </c>
      <c r="C28" s="41" t="inlineStr">
        <is>
          <t>47918378V</t>
        </is>
      </c>
      <c r="D28" s="42" t="inlineStr"/>
      <c r="E28" s="43" t="inlineStr">
        <is>
          <t>Grayena</t>
        </is>
      </c>
      <c r="F28" s="44" t="inlineStr">
        <is>
          <t>Pagado</t>
        </is>
      </c>
      <c r="G28" s="45" t="n">
        <v>600</v>
      </c>
    </row>
    <row r="29" ht="17" customHeight="1">
      <c r="A29" s="5" t="n">
        <v>26</v>
      </c>
      <c r="B29" s="6" t="inlineStr">
        <is>
          <t>Juan Francisco de la Cruz Sanchez Plana</t>
        </is>
      </c>
      <c r="C29" s="7" t="inlineStr">
        <is>
          <t>40876029S</t>
        </is>
      </c>
      <c r="D29" s="8" t="inlineStr">
        <is>
          <t>686 943 349</t>
        </is>
      </c>
      <c r="E29" s="9" t="inlineStr">
        <is>
          <t>Grayena</t>
        </is>
      </c>
      <c r="F29" s="10" t="inlineStr">
        <is>
          <t>S.C</t>
        </is>
      </c>
      <c r="G29" s="10" t="inlineStr">
        <is>
          <t>S.C</t>
        </is>
      </c>
    </row>
    <row r="30" ht="17" customHeight="1">
      <c r="A30" s="18" t="n">
        <v>27</v>
      </c>
      <c r="B30" s="19" t="inlineStr">
        <is>
          <t>Llorenç Ruiz Sala</t>
        </is>
      </c>
      <c r="C30" s="20" t="inlineStr">
        <is>
          <t>34758374S</t>
        </is>
      </c>
      <c r="D30" s="21" t="inlineStr">
        <is>
          <t>638 387 588</t>
        </is>
      </c>
      <c r="E30" s="22" t="inlineStr">
        <is>
          <t>Grayena</t>
        </is>
      </c>
      <c r="F30" s="23" t="inlineStr">
        <is>
          <t>Pagado</t>
        </is>
      </c>
      <c r="G30" s="24" t="n">
        <v>600</v>
      </c>
    </row>
    <row r="31" ht="17" customHeight="1">
      <c r="A31" s="25" t="n">
        <v>28</v>
      </c>
      <c r="B31" s="26" t="inlineStr">
        <is>
          <t>Manuel Castillo Lopez</t>
        </is>
      </c>
      <c r="C31" s="27" t="inlineStr">
        <is>
          <t>4498318P</t>
        </is>
      </c>
      <c r="D31" s="28" t="inlineStr">
        <is>
          <t>628 504 033</t>
        </is>
      </c>
      <c r="E31" s="29" t="inlineStr">
        <is>
          <t>Grayena</t>
        </is>
      </c>
      <c r="F31" s="30" t="inlineStr">
        <is>
          <t>Pagado</t>
        </is>
      </c>
      <c r="G31" s="31" t="n">
        <v>600</v>
      </c>
    </row>
    <row r="32" ht="17" customHeight="1">
      <c r="A32" s="46" t="n">
        <v>29</v>
      </c>
      <c r="B32" s="67" t="inlineStr">
        <is>
          <t xml:space="preserve">    Carlos Castillo Leon</t>
        </is>
      </c>
      <c r="C32" s="48" t="inlineStr">
        <is>
          <t>77795483F</t>
        </is>
      </c>
      <c r="D32" s="49" t="inlineStr"/>
      <c r="E32" s="50" t="inlineStr">
        <is>
          <t>Grayena</t>
        </is>
      </c>
      <c r="F32" s="51" t="inlineStr">
        <is>
          <t>Falta</t>
        </is>
      </c>
      <c r="G32" s="52" t="n">
        <v>600</v>
      </c>
    </row>
    <row r="33" ht="17" customHeight="1">
      <c r="A33" s="53" t="n">
        <v>30</v>
      </c>
      <c r="B33" s="54" t="inlineStr">
        <is>
          <t>Miquel Angel Rodriguez</t>
        </is>
      </c>
      <c r="C33" s="55" t="inlineStr">
        <is>
          <t>46719456Q</t>
        </is>
      </c>
      <c r="D33" s="56" t="inlineStr">
        <is>
          <t>692 589 875</t>
        </is>
      </c>
      <c r="E33" s="57" t="inlineStr">
        <is>
          <t>Grayena</t>
        </is>
      </c>
      <c r="F33" s="58" t="inlineStr">
        <is>
          <t>Pagado</t>
        </is>
      </c>
      <c r="G33" s="59" t="n">
        <v>500</v>
      </c>
    </row>
    <row r="34" ht="17" customHeight="1">
      <c r="A34" s="32" t="n">
        <v>31</v>
      </c>
      <c r="B34" s="33" t="inlineStr">
        <is>
          <t xml:space="preserve">    Miquel Jaldo Pelegrino</t>
        </is>
      </c>
      <c r="C34" s="34" t="inlineStr">
        <is>
          <t>46518981D</t>
        </is>
      </c>
      <c r="D34" s="35" t="inlineStr"/>
      <c r="E34" s="36" t="inlineStr">
        <is>
          <t>Grayena</t>
        </is>
      </c>
      <c r="F34" s="37" t="inlineStr">
        <is>
          <t>Pagado</t>
        </is>
      </c>
      <c r="G34" s="38" t="n">
        <v>500</v>
      </c>
    </row>
    <row r="35" ht="17" customHeight="1">
      <c r="A35" s="32" t="n">
        <v>32</v>
      </c>
      <c r="B35" s="33" t="inlineStr">
        <is>
          <t xml:space="preserve">    Miquel Jaldo Delpino</t>
        </is>
      </c>
      <c r="C35" s="34" t="inlineStr">
        <is>
          <t>49288378E</t>
        </is>
      </c>
      <c r="D35" s="35" t="inlineStr"/>
      <c r="E35" s="36" t="inlineStr">
        <is>
          <t>Grayena</t>
        </is>
      </c>
      <c r="F35" s="37" t="inlineStr">
        <is>
          <t>Pagado</t>
        </is>
      </c>
      <c r="G35" s="38" t="n">
        <v>500</v>
      </c>
    </row>
    <row r="36" ht="17" customHeight="1">
      <c r="A36" s="39" t="n">
        <v>33</v>
      </c>
      <c r="B36" s="40" t="inlineStr">
        <is>
          <t xml:space="preserve">    Jesus Jaldo Pelegrina</t>
        </is>
      </c>
      <c r="C36" s="41" t="inlineStr">
        <is>
          <t>46537187E</t>
        </is>
      </c>
      <c r="D36" s="42" t="inlineStr"/>
      <c r="E36" s="43" t="inlineStr">
        <is>
          <t>Grayena</t>
        </is>
      </c>
      <c r="F36" s="44" t="inlineStr">
        <is>
          <t>Pagado</t>
        </is>
      </c>
      <c r="G36" s="45" t="n">
        <v>500</v>
      </c>
    </row>
    <row r="37" ht="17" customHeight="1">
      <c r="A37" s="5" t="n">
        <v>34</v>
      </c>
      <c r="B37" s="6" t="inlineStr">
        <is>
          <t>Miquel Galcerà Altés</t>
        </is>
      </c>
      <c r="C37" s="7" t="inlineStr">
        <is>
          <t>78575149-L</t>
        </is>
      </c>
      <c r="D37" s="8" t="inlineStr"/>
      <c r="E37" s="9" t="inlineStr">
        <is>
          <t>Grayena</t>
        </is>
      </c>
      <c r="F37" s="10" t="inlineStr">
        <is>
          <t>S.C</t>
        </is>
      </c>
      <c r="G37" s="10" t="inlineStr">
        <is>
          <t>S.C</t>
        </is>
      </c>
    </row>
    <row r="38" ht="17" customHeight="1">
      <c r="A38" s="5" t="n">
        <v>35</v>
      </c>
      <c r="B38" s="6" t="inlineStr">
        <is>
          <t>Ramón Vidal Sabaté</t>
        </is>
      </c>
      <c r="C38" s="7" t="inlineStr">
        <is>
          <t>40880798T</t>
        </is>
      </c>
      <c r="D38" s="8" t="inlineStr">
        <is>
          <t>680 702 577</t>
        </is>
      </c>
      <c r="E38" s="9" t="inlineStr">
        <is>
          <t>Grayena</t>
        </is>
      </c>
      <c r="F38" s="10" t="inlineStr">
        <is>
          <t>S.C</t>
        </is>
      </c>
      <c r="G38" s="10" t="inlineStr">
        <is>
          <t>S.C</t>
        </is>
      </c>
    </row>
    <row r="39" ht="17" customHeight="1">
      <c r="A39" s="60" t="n">
        <v>36</v>
      </c>
      <c r="B39" s="61" t="inlineStr">
        <is>
          <t>Sebastia Ros Barbera</t>
        </is>
      </c>
      <c r="C39" s="62" t="inlineStr">
        <is>
          <t>40864924L</t>
        </is>
      </c>
      <c r="D39" s="63" t="inlineStr">
        <is>
          <t>625 146 666</t>
        </is>
      </c>
      <c r="E39" s="64" t="inlineStr">
        <is>
          <t>Grayena</t>
        </is>
      </c>
      <c r="F39" s="65" t="inlineStr">
        <is>
          <t>Falta</t>
        </is>
      </c>
      <c r="G39" s="66" t="n">
        <v>600</v>
      </c>
    </row>
    <row r="40" ht="17" customHeight="1">
      <c r="A40" s="46" t="n">
        <v>37</v>
      </c>
      <c r="B40" s="67" t="inlineStr">
        <is>
          <t xml:space="preserve">    Adriá Ros Pujol</t>
        </is>
      </c>
      <c r="C40" s="48" t="inlineStr">
        <is>
          <t>78089599E</t>
        </is>
      </c>
      <c r="D40" s="49" t="inlineStr"/>
      <c r="E40" s="50" t="inlineStr">
        <is>
          <t>Grayena</t>
        </is>
      </c>
      <c r="F40" s="51" t="inlineStr">
        <is>
          <t>Falta</t>
        </is>
      </c>
      <c r="G40" s="52" t="n">
        <v>600</v>
      </c>
    </row>
    <row r="41" ht="17" customHeight="1">
      <c r="A41" s="46" t="n">
        <v>38</v>
      </c>
      <c r="B41" s="47" t="inlineStr">
        <is>
          <t>Sebastian Altemir Riba</t>
        </is>
      </c>
      <c r="C41" s="48" t="inlineStr">
        <is>
          <t>53332504N</t>
        </is>
      </c>
      <c r="D41" s="49" t="inlineStr"/>
      <c r="E41" s="50" t="inlineStr">
        <is>
          <t>Grayena</t>
        </is>
      </c>
      <c r="F41" s="51" t="inlineStr">
        <is>
          <t>Falta</t>
        </is>
      </c>
      <c r="G41" s="52" t="n">
        <v>600</v>
      </c>
    </row>
    <row r="42" ht="17" customHeight="1">
      <c r="A42" s="60" t="n">
        <v>39</v>
      </c>
      <c r="B42" s="61" t="inlineStr">
        <is>
          <t>Sergio Valera Guerrero</t>
        </is>
      </c>
      <c r="C42" s="62" t="inlineStr">
        <is>
          <t>39888316Z</t>
        </is>
      </c>
      <c r="D42" s="63" t="inlineStr">
        <is>
          <t>652 916 065</t>
        </is>
      </c>
      <c r="E42" s="64" t="inlineStr">
        <is>
          <t>Grayena</t>
        </is>
      </c>
      <c r="F42" s="65" t="inlineStr">
        <is>
          <t>Falta</t>
        </is>
      </c>
      <c r="G42" s="66" t="n">
        <v>600</v>
      </c>
    </row>
    <row r="43" ht="17" customHeight="1">
      <c r="A43" s="60" t="n">
        <v>40</v>
      </c>
      <c r="B43" s="68" t="inlineStr">
        <is>
          <t xml:space="preserve">    Iker Valera Gisbert</t>
        </is>
      </c>
      <c r="C43" s="62" t="inlineStr">
        <is>
          <t>39940528Q</t>
        </is>
      </c>
      <c r="D43" s="63" t="inlineStr"/>
      <c r="E43" s="64" t="inlineStr">
        <is>
          <t>Grayena</t>
        </is>
      </c>
      <c r="F43" s="65" t="inlineStr">
        <is>
          <t>Falta</t>
        </is>
      </c>
      <c r="G43" s="66" t="n">
        <v>600</v>
      </c>
    </row>
    <row r="44" ht="17" customHeight="1">
      <c r="A44" s="46" t="n">
        <v>41</v>
      </c>
      <c r="B44" s="67" t="inlineStr">
        <is>
          <t xml:space="preserve">    Juan Varela Ortiz</t>
        </is>
      </c>
      <c r="C44" s="48" t="inlineStr">
        <is>
          <t>25912415V</t>
        </is>
      </c>
      <c r="D44" s="49" t="inlineStr"/>
      <c r="E44" s="50" t="inlineStr">
        <is>
          <t>Grayena</t>
        </is>
      </c>
      <c r="F44" s="51" t="inlineStr">
        <is>
          <t>Falta</t>
        </is>
      </c>
      <c r="G44" s="52" t="n">
        <v>600</v>
      </c>
    </row>
    <row r="45" ht="17" customHeight="1">
      <c r="A45" s="69" t="n">
        <v>42</v>
      </c>
      <c r="B45" s="70" t="inlineStr"/>
      <c r="C45" s="71" t="inlineStr"/>
      <c r="D45" s="71" t="inlineStr"/>
      <c r="E45" s="57" t="inlineStr">
        <is>
          <t>Grayena</t>
        </is>
      </c>
      <c r="F45" s="72" t="inlineStr"/>
      <c r="G45" s="73" t="inlineStr"/>
    </row>
    <row r="46" ht="17" customHeight="1">
      <c r="A46" s="74" t="n">
        <v>43</v>
      </c>
      <c r="B46" s="75" t="inlineStr"/>
      <c r="C46" s="76" t="inlineStr"/>
      <c r="D46" s="76" t="inlineStr"/>
      <c r="E46" s="29" t="inlineStr">
        <is>
          <t>Grayena</t>
        </is>
      </c>
      <c r="F46" s="77" t="inlineStr"/>
      <c r="G46" s="78" t="inlineStr"/>
    </row>
    <row r="47" ht="17" customHeight="1">
      <c r="A47" s="69" t="n">
        <v>44</v>
      </c>
      <c r="B47" s="70" t="inlineStr"/>
      <c r="C47" s="71" t="inlineStr"/>
      <c r="D47" s="71" t="inlineStr"/>
      <c r="E47" s="57" t="inlineStr">
        <is>
          <t>Grayena</t>
        </is>
      </c>
      <c r="F47" s="72" t="inlineStr"/>
      <c r="G47" s="73" t="inlineStr"/>
    </row>
    <row r="48" ht="17" customHeight="1">
      <c r="A48" s="74" t="n">
        <v>45</v>
      </c>
      <c r="B48" s="75" t="inlineStr"/>
      <c r="C48" s="76" t="inlineStr"/>
      <c r="D48" s="76" t="inlineStr"/>
      <c r="E48" s="29" t="inlineStr">
        <is>
          <t>Grayena</t>
        </is>
      </c>
      <c r="F48" s="77" t="inlineStr"/>
      <c r="G48" s="78" t="inlineStr"/>
    </row>
    <row r="49" ht="17" customHeight="1">
      <c r="A49" s="69" t="n">
        <v>46</v>
      </c>
      <c r="B49" s="70" t="inlineStr"/>
      <c r="C49" s="71" t="inlineStr"/>
      <c r="D49" s="71" t="inlineStr"/>
      <c r="E49" s="57" t="inlineStr">
        <is>
          <t>Grayena</t>
        </is>
      </c>
      <c r="F49" s="72" t="inlineStr"/>
      <c r="G49" s="73" t="inlineStr"/>
    </row>
    <row r="50" ht="17" customHeight="1">
      <c r="A50" s="74" t="n">
        <v>47</v>
      </c>
      <c r="B50" s="75" t="inlineStr"/>
      <c r="C50" s="76" t="inlineStr"/>
      <c r="D50" s="76" t="inlineStr"/>
      <c r="E50" s="29" t="inlineStr">
        <is>
          <t>Grayena</t>
        </is>
      </c>
      <c r="F50" s="77" t="inlineStr"/>
      <c r="G50" s="78" t="inlineStr"/>
    </row>
    <row r="51" ht="17" customHeight="1">
      <c r="A51" s="69" t="n">
        <v>48</v>
      </c>
      <c r="B51" s="70" t="inlineStr"/>
      <c r="C51" s="71" t="inlineStr"/>
      <c r="D51" s="71" t="inlineStr"/>
      <c r="E51" s="57" t="inlineStr">
        <is>
          <t>Grayena</t>
        </is>
      </c>
      <c r="F51" s="72" t="inlineStr"/>
      <c r="G51" s="73" t="inlineStr"/>
    </row>
    <row r="52" ht="17" customHeight="1">
      <c r="A52" s="74" t="n">
        <v>49</v>
      </c>
      <c r="B52" s="75" t="inlineStr"/>
      <c r="C52" s="76" t="inlineStr"/>
      <c r="D52" s="76" t="inlineStr"/>
      <c r="E52" s="29" t="inlineStr">
        <is>
          <t>Grayena</t>
        </is>
      </c>
      <c r="F52" s="77" t="inlineStr"/>
      <c r="G52" s="78" t="inlineStr"/>
    </row>
    <row r="53" ht="17" customHeight="1">
      <c r="A53" s="69" t="n">
        <v>50</v>
      </c>
      <c r="B53" s="70" t="inlineStr"/>
      <c r="C53" s="71" t="inlineStr"/>
      <c r="D53" s="71" t="inlineStr"/>
      <c r="E53" s="57" t="inlineStr">
        <is>
          <t>Grayena</t>
        </is>
      </c>
      <c r="F53" s="72" t="inlineStr"/>
      <c r="G53" s="73" t="inlineStr"/>
    </row>
    <row r="54" ht="17" customHeight="1">
      <c r="A54" s="74" t="n">
        <v>51</v>
      </c>
      <c r="B54" s="75" t="inlineStr"/>
      <c r="C54" s="76" t="inlineStr"/>
      <c r="D54" s="76" t="inlineStr"/>
      <c r="E54" s="29" t="inlineStr">
        <is>
          <t>Grayena</t>
        </is>
      </c>
      <c r="F54" s="77" t="inlineStr"/>
      <c r="G54" s="78" t="inlineStr"/>
    </row>
    <row r="55" ht="8" customHeight="1"/>
    <row r="56" ht="22" customHeight="1">
      <c r="A56" s="79" t="inlineStr">
        <is>
          <t>RESUMEN AUTOMÁTICO DE PAGOS (FÓRMULAS EXCEL)</t>
        </is>
      </c>
    </row>
    <row r="57" ht="18" customHeight="1">
      <c r="A57" s="80" t="inlineStr">
        <is>
          <t>Total de cazadores registrados (con nombre)</t>
        </is>
      </c>
      <c r="F57" s="81">
        <f>COUNTA(B4:B54)</f>
        <v/>
      </c>
    </row>
    <row r="58" ht="18" customHeight="1">
      <c r="A58" s="82" t="inlineStr">
        <is>
          <t>✓  Pagados</t>
        </is>
      </c>
      <c r="F58" s="83">
        <f>COUNTIF(F4:F54, "Pagado")</f>
        <v/>
      </c>
    </row>
    <row r="59" ht="18" customHeight="1">
      <c r="A59" s="84" t="inlineStr">
        <is>
          <t>✗  Pendientes de pago (Falta)</t>
        </is>
      </c>
      <c r="F59" s="85">
        <f>COUNTIF(F4:F54, "Falta")</f>
        <v/>
      </c>
    </row>
    <row r="60" ht="18" customHeight="1">
      <c r="A60" s="86" t="inlineStr">
        <is>
          <t>·  Sin Coste (S.C)</t>
        </is>
      </c>
      <c r="F60" s="87">
        <f>COUNTIF(F4:F54, "S.C")</f>
        <v/>
      </c>
    </row>
    <row r="61" ht="18" customHeight="1">
      <c r="A61" s="88" t="inlineStr">
        <is>
          <t>€  Total Recaudado (Cobrado)</t>
        </is>
      </c>
      <c r="F61" s="89">
        <f>SUMIF(F4:F54, "Pagado", G4:G54)</f>
        <v/>
      </c>
    </row>
    <row r="62" ht="18" customHeight="1">
      <c r="A62" s="84" t="inlineStr">
        <is>
          <t>€  Total Pendiente (Por Cobrar)</t>
        </is>
      </c>
      <c r="F62" s="90">
        <f>SUMIF(F4:F54, "Falta", G4:G54)</f>
        <v/>
      </c>
    </row>
    <row r="63" ht="18" customHeight="1">
      <c r="A63" s="91" t="inlineStr">
        <is>
          <t>€  Total General (Proyectado)</t>
        </is>
      </c>
      <c r="F63" s="92">
        <f>SUM(G4:G54)</f>
        <v/>
      </c>
    </row>
  </sheetData>
  <autoFilter ref="A3:G63"/>
  <mergeCells count="17">
    <mergeCell ref="F61:G61"/>
    <mergeCell ref="F59:G59"/>
    <mergeCell ref="A59:E59"/>
    <mergeCell ref="A1:G1"/>
    <mergeCell ref="A57:E57"/>
    <mergeCell ref="A56:G56"/>
    <mergeCell ref="A62:E62"/>
    <mergeCell ref="F62:G62"/>
    <mergeCell ref="A60:E60"/>
    <mergeCell ref="F60:G60"/>
    <mergeCell ref="F63:G63"/>
    <mergeCell ref="A63:E63"/>
    <mergeCell ref="A2:G2"/>
    <mergeCell ref="A61:E61"/>
    <mergeCell ref="A58:E58"/>
    <mergeCell ref="F58:G58"/>
    <mergeCell ref="F57:G57"/>
  </mergeCells>
  <dataValidations count="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errorTitle="Valor incorrecto" error="El valor introducido no es válido. Elija de la lista: Pagado, Falta o S.C" promptTitle="Estado de Pago" prompt="Seleccione: Pagado, Falta o S.C" type="list">
      <formula1>"Pagado,Falta,S.C"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2026-07-02T15:13:36Z</dcterms:created>
  <dcterms:modified xmlns:dcterms="http://purl.org/dc/terms/" xmlns:xsi="http://www.w3.org/2001/XMLSchema-instance" xsi:type="dcterms:W3CDTF">2026-07-02T15:13:36Z</dcterms:modified>
</cp:coreProperties>
</file>